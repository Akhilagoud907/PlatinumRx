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316cef0c0cf06d/Desktop/"/>
    </mc:Choice>
  </mc:AlternateContent>
  <xr:revisionPtr revIDLastSave="0" documentId="8_{AD5D208E-E4C8-4889-9C13-20FBB7CC5418}" xr6:coauthVersionLast="47" xr6:coauthVersionMax="47" xr10:uidLastSave="{00000000-0000-0000-0000-000000000000}"/>
  <bookViews>
    <workbookView xWindow="-108" yWindow="-108" windowWidth="23256" windowHeight="12456" xr2:uid="{67D1ABC0-11B5-4356-AF07-EC60A31C445C}"/>
  </bookViews>
  <sheets>
    <sheet name="Results" sheetId="7" r:id="rId1"/>
    <sheet name="ticket" sheetId="1" r:id="rId2"/>
    <sheet name="feedbacks" sheetId="2" r:id="rId3"/>
  </sheets>
  <calcPr calcId="191029"/>
  <pivotCaches>
    <pivotCache cacheId="4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2" i="2"/>
  <c r="G3" i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<sst xmlns="http://schemas.openxmlformats.org/spreadsheetml/2006/main" count="30" uniqueCount="23">
  <si>
    <t>ticket_id</t>
  </si>
  <si>
    <t>created_at</t>
  </si>
  <si>
    <t>closed_at</t>
  </si>
  <si>
    <t>outlet_id</t>
  </si>
  <si>
    <t xml:space="preserve"> cms_id</t>
  </si>
  <si>
    <t>t1</t>
  </si>
  <si>
    <t>t2</t>
  </si>
  <si>
    <t>t3</t>
  </si>
  <si>
    <t>t4</t>
  </si>
  <si>
    <t>c1</t>
  </si>
  <si>
    <t>c2</t>
  </si>
  <si>
    <t>c3</t>
  </si>
  <si>
    <t>c4</t>
  </si>
  <si>
    <t>cms_id</t>
  </si>
  <si>
    <t>feedback_at</t>
  </si>
  <si>
    <t>feedback_rating</t>
  </si>
  <si>
    <t>ticket_created_at</t>
  </si>
  <si>
    <t>same Day</t>
  </si>
  <si>
    <t>Same Hour</t>
  </si>
  <si>
    <t>Row Labels</t>
  </si>
  <si>
    <t>Grand Total</t>
  </si>
  <si>
    <t>Count of ticket_id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</si>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</sst>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a Goud" refreshedDate="46120.926551504628" createdVersion="8" refreshedVersion="8" minRefreshableVersion="3" recordCount="4" xr:uid="{EEC06AEE-2F99-4D59-B94D-AB1F7835252C}">
  <cacheSource type="worksheet">
    <worksheetSource ref="A1:G5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12-08-19T11:00:00" maxDate="2021-08-20T14:00:00"/>
    </cacheField>
    <cacheField name="closed_at" numFmtId="22">
      <sharedItems containsSemiMixedTypes="0" containsNonDate="0" containsDate="1" containsString="0" minDate="2021-08-19T12:00:00" maxDate="2021-08-21T09:10:00"/>
    </cacheField>
    <cacheField name="outlet_id" numFmtId="0">
      <sharedItems containsSemiMixedTypes="0" containsString="0" containsNumber="1" containsInteger="1" minValue="1" maxValue="2" count="2">
        <n v="1"/>
        <n v="2"/>
      </sharedItems>
    </cacheField>
    <cacheField name=" cms_id" numFmtId="0">
      <sharedItems/>
    </cacheField>
    <cacheField name="same Day" numFmtId="0">
      <sharedItems count="2">
        <s v="Yes"/>
        <s v="No"/>
      </sharedItems>
    </cacheField>
    <cacheField name="Same Hou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t1"/>
    <d v="2021-08-19T10:00:00"/>
    <d v="2021-08-19T12:00:00"/>
    <x v="0"/>
    <s v="c1"/>
    <x v="0"/>
    <x v="0"/>
  </r>
  <r>
    <s v="t2"/>
    <d v="2012-08-19T11:00:00"/>
    <d v="2021-08-20T09:00:00"/>
    <x v="0"/>
    <s v="c2"/>
    <x v="1"/>
    <x v="0"/>
  </r>
  <r>
    <s v="t3"/>
    <d v="2021-08-20T14:00:00"/>
    <d v="2021-08-20T14:30:00"/>
    <x v="1"/>
    <s v="c3"/>
    <x v="0"/>
    <x v="1"/>
  </r>
  <r>
    <s v="t4"/>
    <d v="2012-08-21T09:00:00"/>
    <d v="2021-08-21T09:10:00"/>
    <x v="1"/>
    <s v="c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5370B-3D45-4A43-9686-9E99E162B7AC}" name="PivotTable2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6" firstHeaderRow="1" firstDataRow="1" firstDataCol="1" rowPageCount="2" colPageCount="1"/>
  <pivotFields count="7">
    <pivotField dataField="1" showAll="0"/>
    <pivotField numFmtId="22" showAll="0"/>
    <pivotField numFmtId="22" showAll="0"/>
    <pivotField axis="axisRow" showAll="0">
      <items count="3">
        <item x="0"/>
        <item x="1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3"/>
  </rowFields>
  <rowItems count="2">
    <i>
      <x v="1"/>
    </i>
    <i t="grand">
      <x/>
    </i>
  </rowItems>
  <colItems count="1">
    <i/>
  </colItems>
  <pageFields count="2">
    <pageField fld="5" item="1" hier="-1"/>
    <pageField fld="6" item="1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9C55-9714-4BD7-8F30-9C3BFBB5CD6B}">
  <dimension ref="A1:B6"/>
  <sheetViews>
    <sheetView tabSelected="1" workbookViewId="0">
      <selection activeCell="A6" sqref="A6"/>
    </sheetView>
  </sheetViews>
  <sheetFormatPr defaultRowHeight="14.4"/>
  <cols>
    <col min="1" max="1" width="12.5546875" bestFit="1" customWidth="1"/>
    <col min="2" max="2" width="16.109375" bestFit="1" customWidth="1"/>
  </cols>
  <sheetData>
    <row r="1" spans="1:2">
      <c r="A1" s="6" t="s">
        <v>17</v>
      </c>
      <c r="B1" t="s">
        <v>22</v>
      </c>
    </row>
    <row r="2" spans="1:2">
      <c r="A2" s="6" t="s">
        <v>18</v>
      </c>
      <c r="B2" t="s">
        <v>22</v>
      </c>
    </row>
    <row r="4" spans="1:2">
      <c r="A4" s="6" t="s">
        <v>19</v>
      </c>
      <c r="B4" t="s">
        <v>21</v>
      </c>
    </row>
    <row r="5" spans="1:2">
      <c r="A5" s="3">
        <v>2</v>
      </c>
      <c r="B5" s="7">
        <v>1</v>
      </c>
    </row>
    <row r="6" spans="1:2">
      <c r="A6" s="3" t="s">
        <v>20</v>
      </c>
      <c r="B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B5C3-E0C0-489B-8175-93E97492BB9C}">
  <dimension ref="A1:G16"/>
  <sheetViews>
    <sheetView workbookViewId="0">
      <selection activeCell="G8" sqref="G8"/>
    </sheetView>
  </sheetViews>
  <sheetFormatPr defaultRowHeight="14.4"/>
  <cols>
    <col min="2" max="3" width="15.44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17</v>
      </c>
      <c r="G1" t="s">
        <v>18</v>
      </c>
    </row>
    <row r="2" spans="1:7">
      <c r="A2" s="4" t="s">
        <v>5</v>
      </c>
      <c r="B2" s="2">
        <v>44427.416666666664</v>
      </c>
      <c r="C2" s="2">
        <v>44427.5</v>
      </c>
      <c r="D2" s="4">
        <v>1</v>
      </c>
      <c r="E2" s="4" t="s">
        <v>9</v>
      </c>
      <c r="F2" s="4" t="str">
        <f>IF(INT(B2)=INT(C2), "Yes", "No")</f>
        <v>Yes</v>
      </c>
      <c r="G2" s="4" t="str">
        <f>IF(TEXT(B2,"yyyy-mm-dd hh")=TEXT(C2,"yyyy-mm-dd hh"), "Yes", "No")</f>
        <v>No</v>
      </c>
    </row>
    <row r="3" spans="1:7">
      <c r="A3" s="4" t="s">
        <v>6</v>
      </c>
      <c r="B3" s="2">
        <v>41140.458333333336</v>
      </c>
      <c r="C3" s="2">
        <v>44428.375</v>
      </c>
      <c r="D3" s="4">
        <v>1</v>
      </c>
      <c r="E3" s="4" t="s">
        <v>10</v>
      </c>
      <c r="F3" s="4" t="str">
        <f t="shared" ref="F3:F16" si="0">IF(INT(B3)=INT(C3), "Yes", "No")</f>
        <v>No</v>
      </c>
      <c r="G3" s="4" t="str">
        <f t="shared" ref="G3:G16" si="1">IF(TEXT(B3,"yyyy-mm-dd hh")=TEXT(C3,"yyyy-mm-dd hh"), "Yes", "No")</f>
        <v>No</v>
      </c>
    </row>
    <row r="4" spans="1:7">
      <c r="A4" s="4" t="s">
        <v>7</v>
      </c>
      <c r="B4" s="2">
        <v>44428.583333333336</v>
      </c>
      <c r="C4" s="2">
        <v>44428.604166666664</v>
      </c>
      <c r="D4" s="4">
        <v>2</v>
      </c>
      <c r="E4" s="4" t="s">
        <v>11</v>
      </c>
      <c r="F4" s="4" t="str">
        <f t="shared" si="0"/>
        <v>Yes</v>
      </c>
      <c r="G4" s="4" t="str">
        <f t="shared" si="1"/>
        <v>Yes</v>
      </c>
    </row>
    <row r="5" spans="1:7">
      <c r="A5" s="4" t="s">
        <v>8</v>
      </c>
      <c r="B5" s="2">
        <v>41142.375</v>
      </c>
      <c r="C5" s="2">
        <v>44429.381944444445</v>
      </c>
      <c r="D5" s="4">
        <v>2</v>
      </c>
      <c r="E5" s="4" t="s">
        <v>12</v>
      </c>
      <c r="F5" s="4" t="str">
        <f t="shared" si="0"/>
        <v>No</v>
      </c>
      <c r="G5" s="4" t="str">
        <f t="shared" si="1"/>
        <v>No</v>
      </c>
    </row>
    <row r="6" spans="1:7">
      <c r="A6" s="4"/>
      <c r="B6" s="2"/>
      <c r="C6" s="2"/>
      <c r="D6" s="4"/>
      <c r="E6" s="4"/>
      <c r="F6" s="4"/>
      <c r="G6" s="4"/>
    </row>
    <row r="7" spans="1:7">
      <c r="A7" s="4"/>
      <c r="B7" s="2"/>
      <c r="C7" s="2"/>
      <c r="D7" s="4"/>
      <c r="E7" s="4"/>
      <c r="F7" s="4"/>
      <c r="G7" s="4"/>
    </row>
    <row r="8" spans="1:7">
      <c r="A8" s="4"/>
      <c r="B8" s="2"/>
      <c r="C8" s="2"/>
      <c r="D8" s="4"/>
      <c r="E8" s="4"/>
      <c r="F8" s="4"/>
      <c r="G8" s="4"/>
    </row>
    <row r="9" spans="1:7">
      <c r="A9" s="4"/>
      <c r="B9" s="2"/>
      <c r="C9" s="2"/>
      <c r="D9" s="4"/>
      <c r="E9" s="4"/>
      <c r="F9" s="4"/>
      <c r="G9" s="4"/>
    </row>
    <row r="10" spans="1:7">
      <c r="A10" s="4"/>
      <c r="B10" s="2"/>
      <c r="C10" s="2"/>
      <c r="D10" s="4"/>
      <c r="E10" s="4"/>
      <c r="F10" s="4"/>
      <c r="G10" s="4"/>
    </row>
    <row r="11" spans="1:7">
      <c r="A11" s="4"/>
      <c r="B11" s="2"/>
      <c r="C11" s="2"/>
      <c r="D11" s="4"/>
      <c r="E11" s="4"/>
      <c r="F11" s="4"/>
      <c r="G11" s="4"/>
    </row>
    <row r="12" spans="1:7">
      <c r="A12" s="4"/>
      <c r="B12" s="2"/>
      <c r="C12" s="2"/>
      <c r="D12" s="4"/>
      <c r="E12" s="4"/>
      <c r="F12" s="4"/>
      <c r="G12" s="4"/>
    </row>
    <row r="13" spans="1:7">
      <c r="A13" s="4"/>
      <c r="B13" s="2"/>
      <c r="C13" s="2"/>
      <c r="D13" s="4"/>
      <c r="E13" s="4"/>
      <c r="F13" s="4"/>
      <c r="G13" s="4"/>
    </row>
    <row r="14" spans="1:7">
      <c r="A14" s="4"/>
      <c r="B14" s="2"/>
      <c r="C14" s="2"/>
      <c r="D14" s="4"/>
      <c r="E14" s="4"/>
      <c r="F14" s="4"/>
      <c r="G14" s="4"/>
    </row>
    <row r="15" spans="1:7">
      <c r="A15" s="4"/>
      <c r="B15" s="2"/>
      <c r="C15" s="2"/>
      <c r="D15" s="4"/>
      <c r="E15" s="4"/>
      <c r="F15" s="4"/>
      <c r="G15" s="4"/>
    </row>
    <row r="16" spans="1:7">
      <c r="A16" s="4"/>
      <c r="B16" s="2"/>
      <c r="C16" s="2"/>
      <c r="D16" s="4"/>
      <c r="E16" s="4"/>
      <c r="F16" s="4"/>
      <c r="G16" s="4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E636-70F3-401F-92D7-D67E71F1DF84}">
  <dimension ref="A1:D17"/>
  <sheetViews>
    <sheetView workbookViewId="0">
      <selection activeCell="C15" sqref="C15"/>
    </sheetView>
  </sheetViews>
  <sheetFormatPr defaultRowHeight="14.4"/>
  <cols>
    <col min="2" max="2" width="15.44140625" bestFit="1" customWidth="1"/>
    <col min="3" max="3" width="15.6640625" customWidth="1"/>
    <col min="4" max="4" width="17.44140625" customWidth="1"/>
  </cols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 s="4" t="s">
        <v>9</v>
      </c>
      <c r="B2" s="2">
        <v>44427.541666666664</v>
      </c>
      <c r="C2" s="5">
        <v>4</v>
      </c>
      <c r="D2" s="3">
        <f>_xlfn.XLOOKUP(A2, ticket!E:E, ticket!B:B)</f>
        <v>44427.416666666664</v>
      </c>
    </row>
    <row r="3" spans="1:4">
      <c r="A3" s="4" t="s">
        <v>10</v>
      </c>
      <c r="B3" s="2">
        <v>44428.416666666664</v>
      </c>
      <c r="C3" s="4">
        <v>3</v>
      </c>
      <c r="D3" s="3">
        <f>_xlfn.XLOOKUP(A3, ticket!E:E, ticket!B:B)</f>
        <v>41140.458333333336</v>
      </c>
    </row>
    <row r="4" spans="1:4">
      <c r="A4" s="4" t="s">
        <v>11</v>
      </c>
      <c r="B4" s="2">
        <v>44428.625</v>
      </c>
      <c r="C4" s="4">
        <v>5</v>
      </c>
      <c r="D4" s="3">
        <f>_xlfn.XLOOKUP(A4, ticket!E:E, ticket!B:B)</f>
        <v>44428.583333333336</v>
      </c>
    </row>
    <row r="5" spans="1:4">
      <c r="A5" s="4" t="s">
        <v>12</v>
      </c>
      <c r="B5" s="2">
        <v>44429.416666666664</v>
      </c>
      <c r="C5" s="4">
        <v>2</v>
      </c>
      <c r="D5" s="3">
        <f>_xlfn.XLOOKUP(A5, ticket!E:E, ticket!B:B)</f>
        <v>41142.375</v>
      </c>
    </row>
    <row r="6" spans="1:4">
      <c r="A6" s="4"/>
      <c r="B6" s="2"/>
      <c r="C6" s="4"/>
    </row>
    <row r="7" spans="1:4">
      <c r="A7" s="4"/>
      <c r="B7" s="2"/>
      <c r="C7" s="4"/>
    </row>
    <row r="8" spans="1:4">
      <c r="A8" s="4"/>
      <c r="B8" s="2"/>
      <c r="C8" s="4"/>
    </row>
    <row r="9" spans="1:4">
      <c r="A9" s="4"/>
      <c r="B9" s="2"/>
      <c r="C9" s="4"/>
    </row>
    <row r="10" spans="1:4">
      <c r="A10" s="4"/>
      <c r="B10" s="2"/>
      <c r="C10" s="4"/>
    </row>
    <row r="11" spans="1:4">
      <c r="A11" s="4"/>
      <c r="B11" s="2"/>
      <c r="C11" s="4"/>
    </row>
    <row r="12" spans="1:4">
      <c r="A12" s="4"/>
      <c r="B12" s="2"/>
      <c r="C12" s="4"/>
    </row>
    <row r="13" spans="1:4">
      <c r="A13" s="4"/>
      <c r="B13" s="2"/>
      <c r="C13" s="4"/>
    </row>
    <row r="14" spans="1:4">
      <c r="A14" s="4"/>
      <c r="B14" s="2"/>
      <c r="C14" s="4"/>
    </row>
    <row r="15" spans="1:4">
      <c r="A15" s="4"/>
      <c r="B15" s="2"/>
      <c r="C15" s="4"/>
    </row>
    <row r="16" spans="1:4">
      <c r="A16" s="4"/>
      <c r="B16" s="2"/>
    </row>
    <row r="17" spans="1:1">
      <c r="A1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Goud</dc:creator>
  <cp:lastModifiedBy>Akhila Goud</cp:lastModifiedBy>
  <dcterms:created xsi:type="dcterms:W3CDTF">2026-04-08T15:38:22Z</dcterms:created>
  <dcterms:modified xsi:type="dcterms:W3CDTF">2026-04-08T17:30:31Z</dcterms:modified>
</cp:coreProperties>
</file>